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<sst xmlns="http://schemas.openxmlformats.org/spreadsheetml/2006/main" count="35" uniqueCount="31">
  <si>
    <t xml:space="preserve">The calibration register of the ina226 is derived via the following formula: </t>
  </si>
  <si>
    <t xml:space="preserve">Power lane </t>
  </si>
  <si>
    <t>Current max (A)</t>
  </si>
  <si>
    <t>safety margin</t>
  </si>
  <si>
    <t>LSB</t>
  </si>
  <si>
    <t>Rshunt</t>
  </si>
  <si>
    <t>CAL</t>
  </si>
  <si>
    <t>CAL integer</t>
  </si>
  <si>
    <t>MSB</t>
  </si>
  <si>
    <t xml:space="preserve">Multiplier </t>
  </si>
  <si>
    <t>Reverse engineering</t>
  </si>
  <si>
    <t>Current step size (LSB) = Current max / 2^15</t>
  </si>
  <si>
    <t>cpu 1</t>
  </si>
  <si>
    <t>CAL bytes</t>
  </si>
  <si>
    <t>Current max</t>
  </si>
  <si>
    <t xml:space="preserve">Cal = 0.00512 / (Current LSB * Rshunt ohmage) </t>
  </si>
  <si>
    <t>cpu 2</t>
  </si>
  <si>
    <t>0x1400</t>
  </si>
  <si>
    <t>*it is known that the ina226 cal register is big endian, however, the code is LE</t>
  </si>
  <si>
    <t>MOBO 3V</t>
  </si>
  <si>
    <t>0x045F</t>
  </si>
  <si>
    <t>MOBO 5V</t>
  </si>
  <si>
    <t>Rshunt: most of the ones we have are R010 (0.01 ohm)</t>
  </si>
  <si>
    <t>GPU 12V special</t>
  </si>
  <si>
    <t>Code configuration: Write Cal bytes in the following order in bus-configuration.h:</t>
  </si>
  <si>
    <t>0x[MSB for ina226][LSB for ina226]</t>
  </si>
  <si>
    <t xml:space="preserve">In some special configurations, we have stacked resistors. We still need to verify if </t>
  </si>
  <si>
    <t xml:space="preserve">these stacked shunt resistors are working properly. </t>
  </si>
  <si>
    <t xml:space="preserve">But the theoretical Rshunt value would be derived by the follow per ohms law: </t>
  </si>
  <si>
    <t xml:space="preserve">Requivalent = 1/(1/R1 + 1/R2) </t>
  </si>
  <si>
    <t>For example, R010 and R002 stack theoretically have Re = 0.00166666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</si>
</sst>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4</v>
      </c>
      <c r="O1" s="1" t="s">
        <v>9</v>
      </c>
      <c r="Q1" s="1"/>
      <c r="R1" s="1" t="s">
        <v>10</v>
      </c>
    </row>
    <row r="2">
      <c r="A2" s="1" t="s">
        <v>11</v>
      </c>
      <c r="F2" s="1" t="s">
        <v>12</v>
      </c>
      <c r="G2" s="1">
        <v>15.0</v>
      </c>
      <c r="H2" s="1">
        <v>20.0</v>
      </c>
      <c r="I2" s="2">
        <f t="shared" ref="I2:I5" si="1">H2/2^15</f>
        <v>0.0006103515625</v>
      </c>
      <c r="J2" s="1">
        <v>0.01</v>
      </c>
      <c r="K2" s="1">
        <f t="shared" ref="K2:K5" si="2">0.00512/(I2*J2)</f>
        <v>838.8608</v>
      </c>
      <c r="L2" s="1">
        <f t="shared" ref="L2:L5" si="3">ROUNDUP(K2,0)</f>
        <v>839</v>
      </c>
      <c r="M2" s="1" t="str">
        <f t="shared" ref="M2:M5" si="4">TEXT(INT(L2/256),"00")</f>
        <v>03</v>
      </c>
      <c r="N2" s="1" t="str">
        <f t="shared" ref="N2:N5" si="5">UPPER(DEC2HEX(MOD(L2, 256), 2))</f>
        <v>47</v>
      </c>
      <c r="O2" s="1">
        <f t="shared" ref="O2:O5" si="6">0.00512/(K2*J2)</f>
        <v>0.0006103515625</v>
      </c>
      <c r="Q2" s="1" t="s">
        <v>13</v>
      </c>
      <c r="R2" s="1" t="s">
        <v>6</v>
      </c>
      <c r="S2" s="1" t="s">
        <v>5</v>
      </c>
      <c r="T2" s="1" t="s">
        <v>4</v>
      </c>
      <c r="U2" s="1" t="s">
        <v>14</v>
      </c>
    </row>
    <row r="3">
      <c r="A3" s="1" t="s">
        <v>15</v>
      </c>
      <c r="F3" s="1" t="s">
        <v>16</v>
      </c>
      <c r="G3" s="1">
        <v>15.0</v>
      </c>
      <c r="H3" s="1">
        <v>20.0</v>
      </c>
      <c r="I3" s="2">
        <f t="shared" si="1"/>
        <v>0.0006103515625</v>
      </c>
      <c r="J3" s="1">
        <v>0.01</v>
      </c>
      <c r="K3" s="2">
        <f t="shared" si="2"/>
        <v>838.8608</v>
      </c>
      <c r="L3" s="1">
        <f t="shared" si="3"/>
        <v>839</v>
      </c>
      <c r="M3" s="2" t="str">
        <f t="shared" si="4"/>
        <v>03</v>
      </c>
      <c r="N3" s="2" t="str">
        <f t="shared" si="5"/>
        <v>47</v>
      </c>
      <c r="O3" s="1">
        <f t="shared" si="6"/>
        <v>0.0006103515625</v>
      </c>
      <c r="Q3" s="1" t="s">
        <v>17</v>
      </c>
      <c r="R3" s="1">
        <v>20.0</v>
      </c>
      <c r="S3" s="1">
        <v>0.01</v>
      </c>
      <c r="T3" s="2">
        <f>0.00512/(S3*R3)</f>
        <v>0.0256</v>
      </c>
      <c r="U3" s="2">
        <f>T3*2^15</f>
        <v>838.8608</v>
      </c>
    </row>
    <row r="4">
      <c r="A4" s="1" t="s">
        <v>18</v>
      </c>
      <c r="F4" s="1" t="s">
        <v>19</v>
      </c>
      <c r="G4" s="1">
        <v>5.0</v>
      </c>
      <c r="H4" s="1">
        <v>10.0</v>
      </c>
      <c r="I4" s="2">
        <f t="shared" si="1"/>
        <v>0.0003051757813</v>
      </c>
      <c r="J4" s="1">
        <v>0.01</v>
      </c>
      <c r="K4" s="2">
        <f t="shared" si="2"/>
        <v>1677.7216</v>
      </c>
      <c r="L4" s="2">
        <f t="shared" si="3"/>
        <v>1678</v>
      </c>
      <c r="M4" s="2" t="str">
        <f t="shared" si="4"/>
        <v>06</v>
      </c>
      <c r="N4" s="2" t="str">
        <f t="shared" si="5"/>
        <v>8E</v>
      </c>
      <c r="O4" s="2">
        <f t="shared" si="6"/>
        <v>0.0003051757813</v>
      </c>
      <c r="Q4" s="1" t="s">
        <v>20</v>
      </c>
    </row>
    <row r="5">
      <c r="F5" s="1" t="s">
        <v>21</v>
      </c>
      <c r="G5" s="1">
        <v>10.0</v>
      </c>
      <c r="H5" s="1">
        <v>15.0</v>
      </c>
      <c r="I5" s="2">
        <f t="shared" si="1"/>
        <v>0.0004577636719</v>
      </c>
      <c r="J5" s="1">
        <v>0.01</v>
      </c>
      <c r="K5" s="2">
        <f t="shared" si="2"/>
        <v>1118.481067</v>
      </c>
      <c r="L5" s="2">
        <f t="shared" si="3"/>
        <v>1119</v>
      </c>
      <c r="M5" s="2" t="str">
        <f t="shared" si="4"/>
        <v>04</v>
      </c>
      <c r="N5" s="2" t="str">
        <f t="shared" si="5"/>
        <v>5F</v>
      </c>
      <c r="O5" s="2">
        <f t="shared" si="6"/>
        <v>0.0004577636719</v>
      </c>
    </row>
    <row r="6">
      <c r="A6" s="1" t="s">
        <v>22</v>
      </c>
    </row>
    <row r="7">
      <c r="F7" s="1" t="s">
        <v>23</v>
      </c>
      <c r="G7" s="1">
        <v>15.0</v>
      </c>
      <c r="H7" s="1">
        <v>20.0</v>
      </c>
      <c r="I7" s="2">
        <f>H7/2^15</f>
        <v>0.0006103515625</v>
      </c>
      <c r="J7" s="1">
        <v>0.0016666</v>
      </c>
      <c r="K7" s="2">
        <f>0.00512/(I7*J7)</f>
        <v>5033.366135</v>
      </c>
      <c r="L7" s="2">
        <f>ROUNDUP(K7,0)</f>
        <v>5034</v>
      </c>
      <c r="M7" s="2" t="str">
        <f>TEXT(INT(L7/256),"00")</f>
        <v>19</v>
      </c>
      <c r="N7" s="2" t="str">
        <f>UPPER(DEC2HEX(MOD(L7, 256), 2))</f>
        <v>AA</v>
      </c>
      <c r="O7" s="2">
        <f>0.00512/(K7*J7)</f>
        <v>0.0006103515625</v>
      </c>
    </row>
    <row r="8">
      <c r="A8" s="1" t="s">
        <v>24</v>
      </c>
    </row>
    <row r="9">
      <c r="A9" s="1" t="s">
        <v>25</v>
      </c>
    </row>
    <row r="11">
      <c r="A11" s="1" t="s">
        <v>26</v>
      </c>
    </row>
    <row r="12">
      <c r="A12" s="1" t="s">
        <v>27</v>
      </c>
    </row>
    <row r="13">
      <c r="A13" s="1" t="s">
        <v>28</v>
      </c>
    </row>
    <row r="14">
      <c r="A14" s="1" t="s">
        <v>29</v>
      </c>
    </row>
    <row r="15">
      <c r="A15" s="1" t="s">
        <v>30</v>
      </c>
    </row>
  </sheetData>
  <mergeCells count="5">
    <mergeCell ref="A1:E1"/>
    <mergeCell ref="A2:E2"/>
    <mergeCell ref="A3:E3"/>
    <mergeCell ref="A4:E4"/>
    <mergeCell ref="A6:E6"/>
  </mergeCells>
  <drawing r:id="rId1"/>
</worksheet>
</file>